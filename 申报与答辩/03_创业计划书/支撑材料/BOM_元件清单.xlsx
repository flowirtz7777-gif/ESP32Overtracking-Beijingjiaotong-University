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ff0c152e3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明细" sheetId="1" r:id="R398a5030e2994b44"/>
    <x:sheet xmlns:r="http://schemas.openxmlformats.org/officeDocument/2006/relationships" name="汇总" sheetId="2" r:id="R82d6ae0775f8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i/>
      <x:sz val="11"/>
      <x:color rgb="FF666666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6E4F0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4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BF8F00"/>
      </x:left>
      <x:right style="medium">
        <x:color rgb="FFBF8F00"/>
      </x:right>
      <x:top style="medium">
        <x:color rgb="FFBF8F00"/>
      </x:top>
      <x:bottom style="medium">
        <x:color rgb="FFBF8F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201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4" fillId="4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1d2179de74ff8" /><Relationship Type="http://schemas.openxmlformats.org/officeDocument/2006/relationships/theme" Target="/xl/theme/theme1.xml" Id="R572c0eba0ab64897" /><Relationship Type="http://schemas.openxmlformats.org/officeDocument/2006/relationships/sharedStrings" Target="/xl/sharedStrings.xml" Id="Rd6beaab809ed4cad" /><Relationship Type="http://schemas.openxmlformats.org/officeDocument/2006/relationships/worksheet" Target="/xl/worksheets/sheet1.xml" Id="R398a5030e2994b44" /><Relationship Type="http://schemas.openxmlformats.org/officeDocument/2006/relationships/worksheet" Target="/xl/worksheets/sheet2.xml" Id="R82d6ae0775f8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" hidden="0" customWidth="1"/>
    <x:col min="3" max="3" width="12" hidden="0" customWidth="1"/>
    <x:col min="4" max="4" width="26" hidden="0" customWidth="1"/>
    <x:col min="5" max="5" width="34" hidden="0" customWidth="1"/>
    <x:col min="6" max="6" width="6" hidden="0" customWidth="1"/>
    <x:col min="7" max="7" width="6" hidden="0" customWidth="1"/>
    <x:col min="8" max="8" width="10" hidden="0" customWidth="1"/>
    <x:col min="9" max="9" width="10" hidden="0" customWidth="1"/>
    <x:col min="10" max="10" width="26" hidden="0" customWidth="1"/>
    <x:col min="11" max="11" width="36" hidden="0" customWidth="1"/>
    <x:col min="12" max="12" width="12" hidden="0" customWidth="1"/>
    <x:col min="13" max="13" width="26" hidden="0" customWidth="1"/>
  </x:cols>
  <x:sheetData>
    <x:row r="1">
      <x:c r="A1" s="4" t="str">
        <x:v>序号</x:v>
      </x:c>
      <x:c r="B1" s="4" t="str">
        <x:v>类别</x:v>
      </x:c>
      <x:c r="C1" s="4" t="str">
        <x:v>元件名称</x:v>
      </x:c>
      <x:c r="D1" s="4" t="str">
        <x:v>型号/规格</x:v>
      </x:c>
      <x:c r="E1" s="4" t="str">
        <x:v>数量</x:v>
      </x:c>
      <x:c r="F1" s="4" t="str">
        <x:v>单位</x:v>
      </x:c>
      <x:c r="G1" s="4" t="str">
        <x:v>单价(元)</x:v>
      </x:c>
      <x:c r="H1" s="4" t="str">
        <x:v>小计(元)</x:v>
      </x:c>
      <x:c r="I1" s="4" t="str">
        <x:v>接口/引脚</x:v>
      </x:c>
      <x:c r="J1" s="4" t="str">
        <x:v>用途说明</x:v>
      </x:c>
      <x:c r="K1" s="4" t="str">
        <x:v>采购状态</x:v>
      </x:c>
      <x:c r="L1" s="4" t="str">
        <x:v>备注</x:v>
      </x:c>
    </x:row>
    <x:row r="2">
      <x:c r="A2" s="10" t="n">
        <x:v>1</x:v>
      </x:c>
      <x:c r="B2" s="10" t="str">
        <x:v>A</x:v>
      </x:c>
      <x:c r="C2" s="13" t="str">
        <x:v>ESP32-S3 开发板</x:v>
      </x:c>
      <x:c r="D2" s="13" t="str">
        <x:v>ESP32-S3-N16R8（16MB Flash / 8MB PSRAM）</x:v>
      </x:c>
      <x:c r="E2" s="11" t="n">
        <x:v>1</x:v>
      </x:c>
      <x:c r="F2" s="10" t="str">
        <x:v>块</x:v>
      </x:c>
      <x:c r="G2" s="12" t="n">
        <x:v>55</x:v>
      </x:c>
      <x:c r="H2" s="12" t="n">
        <x:f>E2*G2</x:f>
        <x:v>55</x:v>
      </x:c>
      <x:c r="I2" s="13" t="str">
        <x:v>USB-C / 串口</x:v>
      </x:c>
      <x:c r="J2" s="13" t="str">
        <x:v>主控：传感器融合、运动学预测、危险区生成、判警与报警输出</x:v>
      </x:c>
      <x:c r="K2" s="13" t="str">
        <x:v>待采购</x:v>
      </x:c>
      <x:c r="L2" s="13" t="str">
        <x:v>主循环 20ms / 50Hz</x:v>
      </x:c>
    </x:row>
    <x:row r="3">
      <x:c r="A3" s="10" t="n">
        <x:v>2</x:v>
      </x:c>
      <x:c r="B3" s="10" t="str">
        <x:v>A</x:v>
      </x:c>
      <x:c r="C3" s="13" t="str">
        <x:v>OpenMV H7 Plus 视觉模块</x:v>
      </x:c>
      <x:c r="D3" s="13" t="str">
        <x:v>摄像头视觉协处理器</x:v>
      </x:c>
      <x:c r="E3" s="11" t="n">
        <x:v>1</x:v>
      </x:c>
      <x:c r="F3" s="10" t="str">
        <x:v>块</x:v>
      </x:c>
      <x:c r="G3" s="12" t="n">
        <x:v>380</x:v>
      </x:c>
      <x:c r="H3" s="12" t="n">
        <x:f>E3*G3</x:f>
        <x:v>380</x:v>
      </x:c>
      <x:c r="I3" s="13" t="str">
        <x:v>UART2 @ 115200</x:v>
      </x:c>
      <x:c r="J3" s="13" t="str">
        <x:v>行人/非机动车识别，输出目标类别与坐标</x:v>
      </x:c>
      <x:c r="K3" s="13" t="str">
        <x:v>待采购</x:v>
      </x:c>
      <x:c r="L3" s="13" t="str">
        <x:v>与 ESP32 固定二进制协议对接</x:v>
      </x:c>
    </x:row>
    <x:row r="4">
      <x:c r="A4" s="10" t="n">
        <x:v>3</x:v>
      </x:c>
      <x:c r="B4" s="10" t="str">
        <x:v>B</x:v>
      </x:c>
      <x:c r="C4" s="13" t="str">
        <x:v>磁性角度传感器模块</x:v>
      </x:c>
      <x:c r="D4" s="13" t="str">
        <x:v>AS5600（含磁铁/轴套）</x:v>
      </x:c>
      <x:c r="E4" s="11" t="n">
        <x:v>2</x:v>
      </x:c>
      <x:c r="F4" s="10" t="str">
        <x:v>个</x:v>
      </x:c>
      <x:c r="G4" s="12" t="n">
        <x:v>12</x:v>
      </x:c>
      <x:c r="H4" s="12" t="n">
        <x:f>E4*G4</x:f>
        <x:v>24</x:v>
      </x:c>
      <x:c r="I4" s="13" t="str">
        <x:v>ADC OUT → GPIO34（当前模拟方案）</x:v>
      </x:c>
      <x:c r="J4" s="13" t="str">
        <x:v>前轮转向角 α 测量</x:v>
      </x:c>
      <x:c r="K4" s="13" t="str">
        <x:v>待采购</x:v>
      </x:c>
      <x:c r="L4" s="13" t="str">
        <x:v>1 用 1 备</x:v>
      </x:c>
    </x:row>
    <x:row r="5">
      <x:c r="A5" s="10" t="n">
        <x:v>4</x:v>
      </x:c>
      <x:c r="B5" s="10" t="str">
        <x:v>B</x:v>
      </x:c>
      <x:c r="C5" s="13" t="str">
        <x:v>旋转角度电位计</x:v>
      </x:c>
      <x:c r="D5" s="13" t="str">
        <x:v>10kΩ 线性，带旋钮/联轴器</x:v>
      </x:c>
      <x:c r="E5" s="11" t="n">
        <x:v>2</x:v>
      </x:c>
      <x:c r="F5" s="10" t="str">
        <x:v>个</x:v>
      </x:c>
      <x:c r="G5" s="12" t="n">
        <x:v>3</x:v>
      </x:c>
      <x:c r="H5" s="12" t="n">
        <x:f>E5*G5</x:f>
        <x:v>6</x:v>
      </x:c>
      <x:c r="I5" s="13" t="str">
        <x:v>ADC → GPIO35</x:v>
      </x:c>
      <x:c r="J5" s="13" t="str">
        <x:v>铰接角 φ 测量</x:v>
      </x:c>
      <x:c r="K5" s="13" t="str">
        <x:v>待采购</x:v>
      </x:c>
      <x:c r="L5" s="13" t="str">
        <x:v>1 用 1 备</x:v>
      </x:c>
    </x:row>
    <x:row r="6">
      <x:c r="A6" s="10" t="n">
        <x:v>5</x:v>
      </x:c>
      <x:c r="B6" s="10" t="str">
        <x:v>B</x:v>
      </x:c>
      <x:c r="C6" s="13" t="str">
        <x:v>毫米波雷达模块</x:v>
      </x:c>
      <x:c r="D6" s="13" t="str">
        <x:v>HLK-LD2450（24GHz，含天线）</x:v>
      </x:c>
      <x:c r="E6" s="11" t="n">
        <x:v>1</x:v>
      </x:c>
      <x:c r="F6" s="10" t="str">
        <x:v>个</x:v>
      </x:c>
      <x:c r="G6" s="12" t="n">
        <x:v>55</x:v>
      </x:c>
      <x:c r="H6" s="12" t="n">
        <x:f>E6*G6</x:f>
        <x:v>55</x:v>
      </x:c>
      <x:c r="I6" s="13" t="str">
        <x:v>UART RX=16 / TX=17 @ 115200</x:v>
      </x:c>
      <x:c r="J6" s="13" t="str">
        <x:v>右侧 0–6m 目标距离/角度/速度</x:v>
      </x:c>
      <x:c r="K6" s="13" t="str">
        <x:v>待采购</x:v>
      </x:c>
      <x:c r="L6" s="13" t="str">
        <x:v>目标数≥3</x:v>
      </x:c>
    </x:row>
    <x:row r="7">
      <x:c r="A7" s="10" t="n">
        <x:v>6</x:v>
      </x:c>
      <x:c r="B7" s="10" t="str">
        <x:v>B</x:v>
      </x:c>
      <x:c r="C7" s="13" t="str">
        <x:v>CAN 收发器模块</x:v>
      </x:c>
      <x:c r="D7" s="13" t="str">
        <x:v>SN65HVD230 / TJA1050</x:v>
      </x:c>
      <x:c r="E7" s="11" t="n">
        <x:v>1</x:v>
      </x:c>
      <x:c r="F7" s="10" t="str">
        <x:v>个</x:v>
      </x:c>
      <x:c r="G7" s="12" t="n">
        <x:v>15</x:v>
      </x:c>
      <x:c r="H7" s="12" t="n">
        <x:f>E7*G7</x:f>
        <x:v>15</x:v>
      </x:c>
      <x:c r="I7" s="13" t="str">
        <x:v>TWAI TX=GPIO5 / RX=GPIO4</x:v>
      </x:c>
      <x:c r="J7" s="13" t="str">
        <x:v>车辆 CAN 总线接入，读取车速 v</x:v>
      </x:c>
      <x:c r="K7" s="13" t="str">
        <x:v>待采购</x:v>
      </x:c>
      <x:c r="L7" s="13" t="str">
        <x:v>默认 500kbps</x:v>
      </x:c>
    </x:row>
    <x:row r="8">
      <x:c r="A8" s="10" t="n">
        <x:v>7</x:v>
      </x:c>
      <x:c r="B8" s="10" t="str">
        <x:v>B</x:v>
      </x:c>
      <x:c r="C8" s="13" t="str">
        <x:v>OBD-II 接口线</x:v>
      </x:c>
      <x:c r="D8" s="13" t="str">
        <x:v>16pin 诊断座 + 延长线</x:v>
      </x:c>
      <x:c r="E8" s="11" t="n">
        <x:v>1</x:v>
      </x:c>
      <x:c r="F8" s="10" t="str">
        <x:v>套</x:v>
      </x:c>
      <x:c r="G8" s="12" t="n">
        <x:v>20</x:v>
      </x:c>
      <x:c r="H8" s="12" t="n">
        <x:f>E8*G8</x:f>
        <x:v>20</x:v>
      </x:c>
      <x:c r="I8" s="13" t="str">
        <x:v>OBD / 整车 CAN</x:v>
      </x:c>
      <x:c r="J8" s="13" t="str">
        <x:v>实车 OBD 口取车速信号</x:v>
      </x:c>
      <x:c r="K8" s="13" t="str">
        <x:v>待采购</x:v>
      </x:c>
      <x:c r="L8" s="13" t="str">
        <x:v>实车测试用</x:v>
      </x:c>
    </x:row>
    <x:row r="9">
      <x:c r="A9" s="10" t="n">
        <x:v>8</x:v>
      </x:c>
      <x:c r="B9" s="10" t="str">
        <x:v>H</x:v>
      </x:c>
      <x:c r="C9" s="13" t="str">
        <x:v>北斗 RTK 模块（增强版）</x:v>
      </x:c>
      <x:c r="D9" s="13" t="str">
        <x:v>双频 RTK，支持双天线测向（和芯星通 UM982 / 华大北斗 HD8040 级）</x:v>
      </x:c>
      <x:c r="E9" s="11" t="n">
        <x:v>1</x:v>
      </x:c>
      <x:c r="F9" s="10" t="str">
        <x:v>块</x:v>
      </x:c>
      <x:c r="G9" s="12" t="n">
        <x:v>480</x:v>
      </x:c>
      <x:c r="H9" s="12" t="n">
        <x:f>E9*G9</x:f>
        <x:v>480</x:v>
      </x:c>
      <x:c r="I9" s="13" t="str">
        <x:v>UART / I2C</x:v>
      </x:c>
      <x:c r="J9" s="13" t="str">
        <x:v>厘米级位置、对地速度、双天线航向</x:v>
      </x:c>
      <x:c r="K9" s="13" t="str">
        <x:v>待采购</x:v>
      </x:c>
      <x:c r="L9" s="13" t="str">
        <x:v>增强版，基础版可不装</x:v>
      </x:c>
    </x:row>
    <x:row r="10">
      <x:c r="A10" s="10" t="n">
        <x:v>9</x:v>
      </x:c>
      <x:c r="B10" s="10" t="str">
        <x:v>H</x:v>
      </x:c>
      <x:c r="C10" s="13" t="str">
        <x:v>GNSS 有源主天线</x:v>
      </x:c>
      <x:c r="D10" s="13" t="str">
        <x:v>双频有源天线（RTK 主天线）</x:v>
      </x:c>
      <x:c r="E10" s="11" t="n">
        <x:v>1</x:v>
      </x:c>
      <x:c r="F10" s="10" t="str">
        <x:v>个</x:v>
      </x:c>
      <x:c r="G10" s="12" t="n">
        <x:v>60</x:v>
      </x:c>
      <x:c r="H10" s="12" t="n">
        <x:f>E10*G10</x:f>
        <x:v>60</x:v>
      </x:c>
      <x:c r="I10" s="13" t="str">
        <x:v>SMA</x:v>
      </x:c>
      <x:c r="J10" s="13" t="str">
        <x:v>北斗 RTK 定位主天线</x:v>
      </x:c>
      <x:c r="K10" s="13" t="str">
        <x:v>待采购</x:v>
      </x:c>
      <x:c r="L10" s="13" t="str">
        <x:v>增强版</x:v>
      </x:c>
    </x:row>
    <x:row r="11">
      <x:c r="A11" s="10" t="n">
        <x:v>10</x:v>
      </x:c>
      <x:c r="B11" s="10" t="str">
        <x:v>H</x:v>
      </x:c>
      <x:c r="C11" s="13" t="str">
        <x:v>GNSS 测向从天线</x:v>
      </x:c>
      <x:c r="D11" s="13" t="str">
        <x:v>有源天线（双天线基线第二路）</x:v>
      </x:c>
      <x:c r="E11" s="11" t="n">
        <x:v>1</x:v>
      </x:c>
      <x:c r="F11" s="10" t="str">
        <x:v>个</x:v>
      </x:c>
      <x:c r="G11" s="12" t="n">
        <x:v>45</x:v>
      </x:c>
      <x:c r="H11" s="12" t="n">
        <x:f>E11*G11</x:f>
        <x:v>45</x:v>
      </x:c>
      <x:c r="I11" s="13" t="str">
        <x:v>SMA</x:v>
      </x:c>
      <x:c r="J11" s="13" t="str">
        <x:v>载波相位测向基线</x:v>
      </x:c>
      <x:c r="K11" s="13" t="str">
        <x:v>待采购</x:v>
      </x:c>
      <x:c r="L11" s="13" t="str">
        <x:v>增强版，基线建议≥0.5m</x:v>
      </x:c>
    </x:row>
    <x:row r="12">
      <x:c r="A12" s="10" t="n">
        <x:v>11</x:v>
      </x:c>
      <x:c r="B12" s="10" t="str">
        <x:v>H</x:v>
      </x:c>
      <x:c r="C12" s="13" t="str">
        <x:v>IMU 六轴模块</x:v>
      </x:c>
      <x:c r="D12" s="13" t="str">
        <x:v>ICM-42688 / MPU6500</x:v>
      </x:c>
      <x:c r="E12" s="11" t="n">
        <x:v>1</x:v>
      </x:c>
      <x:c r="F12" s="10" t="str">
        <x:v>个</x:v>
      </x:c>
      <x:c r="G12" s="12" t="n">
        <x:v>35</x:v>
      </x:c>
      <x:c r="H12" s="12" t="n">
        <x:f>E12*G12</x:f>
        <x:v>35</x:v>
      </x:c>
      <x:c r="I12" s="13" t="str">
        <x:v>I2C / SPI</x:v>
      </x:c>
      <x:c r="J12" s="13" t="str">
        <x:v>隧道/遮挡下组合导航补偿</x:v>
      </x:c>
      <x:c r="K12" s="13" t="str">
        <x:v>待采购</x:v>
      </x:c>
      <x:c r="L12" s="13" t="str">
        <x:v>增强版，可选</x:v>
      </x:c>
    </x:row>
    <x:row r="13">
      <x:c r="A13" s="10" t="n">
        <x:v>12</x:v>
      </x:c>
      <x:c r="B13" s="10" t="str">
        <x:v>C</x:v>
      </x:c>
      <x:c r="C13" s="13" t="str">
        <x:v>DC-DC 降压模块</x:v>
      </x:c>
      <x:c r="D13" s="13" t="str">
        <x:v>12/24V→5V 3A（MP1584 / LM2596S）</x:v>
      </x:c>
      <x:c r="E13" s="11" t="n">
        <x:v>1</x:v>
      </x:c>
      <x:c r="F13" s="10" t="str">
        <x:v>个</x:v>
      </x:c>
      <x:c r="G13" s="12" t="n">
        <x:v>12</x:v>
      </x:c>
      <x:c r="H13" s="12" t="n">
        <x:f>E13*G13</x:f>
        <x:v>12</x:v>
      </x:c>
      <x:c r="I13" s="13" t="str">
        <x:v>输入车载 12/24V</x:v>
      </x:c>
      <x:c r="J13" s="13" t="str">
        <x:v>整机主供电 5V</x:v>
      </x:c>
      <x:c r="K13" s="13" t="str">
        <x:v>待采购</x:v>
      </x:c>
      <x:c r="L13" s="13" t="str">
        <x:v>需留余量</x:v>
      </x:c>
    </x:row>
    <x:row r="14">
      <x:c r="A14" s="10" t="n">
        <x:v>13</x:v>
      </x:c>
      <x:c r="B14" s="10" t="str">
        <x:v>C</x:v>
      </x:c>
      <x:c r="C14" s="13" t="str">
        <x:v>LDO 稳压芯片</x:v>
      </x:c>
      <x:c r="D14" s="13" t="str">
        <x:v>AMS1117-3.3</x:v>
      </x:c>
      <x:c r="E14" s="11" t="n">
        <x:v>2</x:v>
      </x:c>
      <x:c r="F14" s="10" t="str">
        <x:v>个</x:v>
      </x:c>
      <x:c r="G14" s="12" t="n">
        <x:v>1</x:v>
      </x:c>
      <x:c r="H14" s="12" t="n">
        <x:f>E14*G14</x:f>
        <x:v>2</x:v>
      </x:c>
      <x:c r="I14" s="13" t="str">
        <x:v>5V→3.3V</x:v>
      </x:c>
      <x:c r="J14" s="13" t="str">
        <x:v>传感器/逻辑 3.3V 供电</x:v>
      </x:c>
      <x:c r="K14" s="13" t="str">
        <x:v>待采购</x:v>
      </x:c>
      <x:c r="L14" s="13" t="str"/>
    </x:row>
    <x:row r="15">
      <x:c r="A15" s="10" t="n">
        <x:v>14</x:v>
      </x:c>
      <x:c r="B15" s="10" t="str">
        <x:v>C</x:v>
      </x:c>
      <x:c r="C15" s="13" t="str">
        <x:v>车载取电套件</x:v>
      </x:c>
      <x:c r="D15" s="13" t="str">
        <x:v>点烟器/电瓶夹线，含保险丝座</x:v>
      </x:c>
      <x:c r="E15" s="11" t="n">
        <x:v>1</x:v>
      </x:c>
      <x:c r="F15" s="10" t="str">
        <x:v>套</x:v>
      </x:c>
      <x:c r="G15" s="12" t="n">
        <x:v>15</x:v>
      </x:c>
      <x:c r="H15" s="12" t="n">
        <x:f>E15*G15</x:f>
        <x:v>15</x:v>
      </x:c>
      <x:c r="I15" s="13" t="str">
        <x:v>12/24V 输入</x:v>
      </x:c>
      <x:c r="J15" s="13" t="str">
        <x:v>实车取电</x:v>
      </x:c>
      <x:c r="K15" s="13" t="str">
        <x:v>待采购</x:v>
      </x:c>
      <x:c r="L15" s="13" t="str"/>
    </x:row>
    <x:row r="16">
      <x:c r="A16" s="10" t="n">
        <x:v>15</x:v>
      </x:c>
      <x:c r="B16" s="10" t="str">
        <x:v>C</x:v>
      </x:c>
      <x:c r="C16" s="13" t="str">
        <x:v>自恢复保险丝</x:v>
      </x:c>
      <x:c r="D16" s="13" t="str">
        <x:v>1.5A</x:v>
      </x:c>
      <x:c r="E16" s="11" t="n">
        <x:v>2</x:v>
      </x:c>
      <x:c r="F16" s="10" t="str">
        <x:v>个</x:v>
      </x:c>
      <x:c r="G16" s="12" t="n">
        <x:v>1.5</x:v>
      </x:c>
      <x:c r="H16" s="12" t="n">
        <x:f>E16*G16</x:f>
        <x:v>3</x:v>
      </x:c>
      <x:c r="I16" s="13" t="str">
        <x:v>串联供电</x:v>
      </x:c>
      <x:c r="J16" s="13" t="str">
        <x:v>过流保护</x:v>
      </x:c>
      <x:c r="K16" s="13" t="str">
        <x:v>待采购</x:v>
      </x:c>
      <x:c r="L16" s="13" t="str"/>
    </x:row>
    <x:row r="17">
      <x:c r="A17" s="10" t="n">
        <x:v>16</x:v>
      </x:c>
      <x:c r="B17" s="10" t="str">
        <x:v>C</x:v>
      </x:c>
      <x:c r="C17" s="13" t="str">
        <x:v>防反接二极管</x:v>
      </x:c>
      <x:c r="D17" s="13" t="str">
        <x:v>SS34 肖特基</x:v>
      </x:c>
      <x:c r="E17" s="11" t="n">
        <x:v>3</x:v>
      </x:c>
      <x:c r="F17" s="10" t="str">
        <x:v>个</x:v>
      </x:c>
      <x:c r="G17" s="12" t="n">
        <x:v>0.8</x:v>
      </x:c>
      <x:c r="H17" s="12" t="n">
        <x:f>E17*G17</x:f>
        <x:v>2.4000000000000004</x:v>
      </x:c>
      <x:c r="I17" s="13" t="str">
        <x:v>输入端</x:v>
      </x:c>
      <x:c r="J17" s="13" t="str">
        <x:v>电源防反接保护</x:v>
      </x:c>
      <x:c r="K17" s="13" t="str">
        <x:v>待采购</x:v>
      </x:c>
      <x:c r="L17" s="13" t="str"/>
    </x:row>
    <x:row r="18">
      <x:c r="A18" s="10" t="n">
        <x:v>17</x:v>
      </x:c>
      <x:c r="B18" s="10" t="str">
        <x:v>C</x:v>
      </x:c>
      <x:c r="C18" s="13" t="str">
        <x:v>TVS 瞬态抑制管</x:v>
      </x:c>
      <x:c r="D18" s="13" t="str">
        <x:v>SMBJ24A / SMBJ36A</x:v>
      </x:c>
      <x:c r="E18" s="11" t="n">
        <x:v>3</x:v>
      </x:c>
      <x:c r="F18" s="10" t="str">
        <x:v>个</x:v>
      </x:c>
      <x:c r="G18" s="12" t="n">
        <x:v>1</x:v>
      </x:c>
      <x:c r="H18" s="12" t="n">
        <x:f>E18*G18</x:f>
        <x:v>3</x:v>
      </x:c>
      <x:c r="I18" s="13" t="str">
        <x:v>输入端</x:v>
      </x:c>
      <x:c r="J18" s="13" t="str">
        <x:v>车载浪涌防护</x:v>
      </x:c>
      <x:c r="K18" s="13" t="str">
        <x:v>待采购</x:v>
      </x:c>
      <x:c r="L18" s="13" t="str"/>
    </x:row>
    <x:row r="19">
      <x:c r="A19" s="10" t="n">
        <x:v>18</x:v>
      </x:c>
      <x:c r="B19" s="10" t="str">
        <x:v>C</x:v>
      </x:c>
      <x:c r="C19" s="13" t="str">
        <x:v>电源滤波电容包</x:v>
      </x:c>
      <x:c r="D19" s="13" t="str">
        <x:v>电解 100µF/25V + 陶瓷 104</x:v>
      </x:c>
      <x:c r="E19" s="11" t="n">
        <x:v>1</x:v>
      </x:c>
      <x:c r="F19" s="10" t="str">
        <x:v>套</x:v>
      </x:c>
      <x:c r="G19" s="12" t="n">
        <x:v>5</x:v>
      </x:c>
      <x:c r="H19" s="12" t="n">
        <x:f>E19*G19</x:f>
        <x:v>5</x:v>
      </x:c>
      <x:c r="I19" s="13" t="str">
        <x:v>输入输出滤波</x:v>
      </x:c>
      <x:c r="J19" s="13" t="str">
        <x:v>稳压与纹波抑制</x:v>
      </x:c>
      <x:c r="K19" s="13" t="str">
        <x:v>待采购</x:v>
      </x:c>
      <x:c r="L19" s="13" t="str"/>
    </x:row>
    <x:row r="20">
      <x:c r="A20" s="10" t="n">
        <x:v>19</x:v>
      </x:c>
      <x:c r="B20" s="10" t="str">
        <x:v>C</x:v>
      </x:c>
      <x:c r="C20" s="13" t="str">
        <x:v>电源开关</x:v>
      </x:c>
      <x:c r="D20" s="13" t="str">
        <x:v>自锁拨动开关</x:v>
      </x:c>
      <x:c r="E20" s="11" t="n">
        <x:v>1</x:v>
      </x:c>
      <x:c r="F20" s="10" t="str">
        <x:v>个</x:v>
      </x:c>
      <x:c r="G20" s="12" t="n">
        <x:v>2</x:v>
      </x:c>
      <x:c r="H20" s="12" t="n">
        <x:f>E20*G20</x:f>
        <x:v>2</x:v>
      </x:c>
      <x:c r="I20" s="13" t="str">
        <x:v>串联 5V</x:v>
      </x:c>
      <x:c r="J20" s="13" t="str">
        <x:v>整机电源开关</x:v>
      </x:c>
      <x:c r="K20" s="13" t="str">
        <x:v>待采购</x:v>
      </x:c>
      <x:c r="L20" s="13" t="str"/>
    </x:row>
    <x:row r="21">
      <x:c r="A21" s="10" t="n">
        <x:v>20</x:v>
      </x:c>
      <x:c r="B21" s="10" t="str">
        <x:v>D</x:v>
      </x:c>
      <x:c r="C21" s="13" t="str">
        <x:v>USB 转 TTL 调试器</x:v>
      </x:c>
      <x:c r="D21" s="13" t="str">
        <x:v>CH340 / CP2102（3.3V/5V）</x:v>
      </x:c>
      <x:c r="E21" s="11" t="n">
        <x:v>1</x:v>
      </x:c>
      <x:c r="F21" s="10" t="str">
        <x:v>个</x:v>
      </x:c>
      <x:c r="G21" s="12" t="n">
        <x:v>15</x:v>
      </x:c>
      <x:c r="H21" s="12" t="n">
        <x:f>E21*G21</x:f>
        <x:v>15</x:v>
      </x:c>
      <x:c r="I21" s="13" t="str">
        <x:v>USB → UART</x:v>
      </x:c>
      <x:c r="J21" s="13" t="str">
        <x:v>固件烧录与日志调试</x:v>
      </x:c>
      <x:c r="K21" s="13" t="str">
        <x:v>待采购</x:v>
      </x:c>
      <x:c r="L21" s="13" t="str"/>
    </x:row>
    <x:row r="22">
      <x:c r="A22" s="10" t="n">
        <x:v>21</x:v>
      </x:c>
      <x:c r="B22" s="10" t="str">
        <x:v>D</x:v>
      </x:c>
      <x:c r="C22" s="13" t="str">
        <x:v>USB-C 数据线</x:v>
      </x:c>
      <x:c r="D22" s="13" t="str">
        <x:v>带数据传输</x:v>
      </x:c>
      <x:c r="E22" s="11" t="n">
        <x:v>2</x:v>
      </x:c>
      <x:c r="F22" s="10" t="str">
        <x:v>条</x:v>
      </x:c>
      <x:c r="G22" s="12" t="n">
        <x:v>8</x:v>
      </x:c>
      <x:c r="H22" s="12" t="n">
        <x:f>E22*G22</x:f>
        <x:v>16</x:v>
      </x:c>
      <x:c r="I22" s="13" t="str">
        <x:v>USB-C</x:v>
      </x:c>
      <x:c r="J22" s="13" t="str">
        <x:v>供电 / 烧录 / OpenMV 连接</x:v>
      </x:c>
      <x:c r="K22" s="13" t="str">
        <x:v>待采购</x:v>
      </x:c>
      <x:c r="L22" s="13" t="str"/>
    </x:row>
    <x:row r="23">
      <x:c r="A23" s="10" t="n">
        <x:v>22</x:v>
      </x:c>
      <x:c r="B23" s="10" t="str">
        <x:v>D</x:v>
      </x:c>
      <x:c r="C23" s="13" t="str">
        <x:v>杜邦线套件</x:v>
      </x:c>
      <x:c r="D23" s="13" t="str">
        <x:v>公母/母母，2.54mm</x:v>
      </x:c>
      <x:c r="E23" s="11" t="n">
        <x:v>2</x:v>
      </x:c>
      <x:c r="F23" s="10" t="str">
        <x:v>套</x:v>
      </x:c>
      <x:c r="G23" s="12" t="n">
        <x:v>6</x:v>
      </x:c>
      <x:c r="H23" s="12" t="n">
        <x:f>E23*G23</x:f>
        <x:v>12</x:v>
      </x:c>
      <x:c r="I23" s="13" t="str">
        <x:v>2.54mm</x:v>
      </x:c>
      <x:c r="J23" s="13" t="str">
        <x:v>调试连接</x:v>
      </x:c>
      <x:c r="K23" s="13" t="str">
        <x:v>待采购</x:v>
      </x:c>
      <x:c r="L23" s="13" t="str"/>
    </x:row>
    <x:row r="24">
      <x:c r="A24" s="10" t="n">
        <x:v>23</x:v>
      </x:c>
      <x:c r="B24" s="10" t="str">
        <x:v>D</x:v>
      </x:c>
      <x:c r="C24" s="13" t="str">
        <x:v>接线端子</x:v>
      </x:c>
      <x:c r="D24" s="13" t="str">
        <x:v>2P/3P/4P PCB 端子</x:v>
      </x:c>
      <x:c r="E24" s="11" t="n">
        <x:v>1</x:v>
      </x:c>
      <x:c r="F24" s="10" t="str">
        <x:v>套</x:v>
      </x:c>
      <x:c r="G24" s="12" t="n">
        <x:v>8</x:v>
      </x:c>
      <x:c r="H24" s="12" t="n">
        <x:f>E24*G24</x:f>
        <x:v>8</x:v>
      </x:c>
      <x:c r="I24" s="13" t="str">
        <x:v>电源/信号</x:v>
      </x:c>
      <x:c r="J24" s="13" t="str">
        <x:v>可靠接线</x:v>
      </x:c>
      <x:c r="K24" s="13" t="str">
        <x:v>待采购</x:v>
      </x:c>
      <x:c r="L24" s="13" t="str"/>
    </x:row>
    <x:row r="25">
      <x:c r="A25" s="10" t="n">
        <x:v>24</x:v>
      </x:c>
      <x:c r="B25" s="10" t="str">
        <x:v>D</x:v>
      </x:c>
      <x:c r="C25" s="13" t="str">
        <x:v>洞洞板/面包板</x:v>
      </x:c>
      <x:c r="D25" s="13" t="str">
        <x:v>调试用</x:v>
      </x:c>
      <x:c r="E25" s="11" t="n">
        <x:v>2</x:v>
      </x:c>
      <x:c r="F25" s="10" t="str">
        <x:v>块</x:v>
      </x:c>
      <x:c r="G25" s="12" t="n">
        <x:v>6</x:v>
      </x:c>
      <x:c r="H25" s="12" t="n">
        <x:f>E25*G25</x:f>
        <x:v>12</x:v>
      </x:c>
      <x:c r="I25" s="13" t="str">
        <x:v>—</x:v>
      </x:c>
      <x:c r="J25" s="13" t="str">
        <x:v>电路搭试</x:v>
      </x:c>
      <x:c r="K25" s="13" t="str">
        <x:v>待采购</x:v>
      </x:c>
      <x:c r="L25" s="13" t="str"/>
    </x:row>
    <x:row r="26">
      <x:c r="A26" s="10" t="n">
        <x:v>25</x:v>
      </x:c>
      <x:c r="B26" s="10" t="str">
        <x:v>E</x:v>
      </x:c>
      <x:c r="C26" s="13" t="str">
        <x:v>无源蜂鸣器</x:v>
      </x:c>
      <x:c r="D26" s="13" t="str">
        <x:v>5V 无源</x:v>
      </x:c>
      <x:c r="E26" s="11" t="n">
        <x:v>2</x:v>
      </x:c>
      <x:c r="F26" s="10" t="str">
        <x:v>个</x:v>
      </x:c>
      <x:c r="G26" s="12" t="n">
        <x:v>1.5</x:v>
      </x:c>
      <x:c r="H26" s="12" t="n">
        <x:f>E26*G26</x:f>
        <x:v>3</x:v>
      </x:c>
      <x:c r="I26" s="13" t="str">
        <x:v>GPIO12（PWM）</x:v>
      </x:c>
      <x:c r="J26" s="13" t="str">
        <x:v>报警声输出</x:v>
      </x:c>
      <x:c r="K26" s="13" t="str">
        <x:v>待采购</x:v>
      </x:c>
      <x:c r="L26" s="13" t="str">
        <x:v>1 用 1 备</x:v>
      </x:c>
    </x:row>
    <x:row r="27">
      <x:c r="A27" s="10" t="n">
        <x:v>26</x:v>
      </x:c>
      <x:c r="B27" s="10" t="str">
        <x:v>E</x:v>
      </x:c>
      <x:c r="C27" s="13" t="str">
        <x:v>双色 LED</x:v>
      </x:c>
      <x:c r="D27" s="13" t="str">
        <x:v>红/黄 双色</x:v>
      </x:c>
      <x:c r="E27" s="11" t="n">
        <x:v>2</x:v>
      </x:c>
      <x:c r="F27" s="10" t="str">
        <x:v>个</x:v>
      </x:c>
      <x:c r="G27" s="12" t="n">
        <x:v>1</x:v>
      </x:c>
      <x:c r="H27" s="12" t="n">
        <x:f>E27*G27</x:f>
        <x:v>2</x:v>
      </x:c>
      <x:c r="I27" s="13" t="str">
        <x:v>GPIO13</x:v>
      </x:c>
      <x:c r="J27" s="13" t="str">
        <x:v>分级报警指示</x:v>
      </x:c>
      <x:c r="K27" s="13" t="str">
        <x:v>待采购</x:v>
      </x:c>
      <x:c r="L27" s="13" t="str"/>
    </x:row>
    <x:row r="28">
      <x:c r="A28" s="10" t="n">
        <x:v>27</x:v>
      </x:c>
      <x:c r="B28" s="10" t="str">
        <x:v>E</x:v>
      </x:c>
      <x:c r="C28" s="13" t="str">
        <x:v>电阻包</x:v>
      </x:c>
      <x:c r="D28" s="13" t="str">
        <x:v>220Ω / 1kΩ / 10kΩ</x:v>
      </x:c>
      <x:c r="E28" s="11" t="n">
        <x:v>1</x:v>
      </x:c>
      <x:c r="F28" s="10" t="str">
        <x:v>套</x:v>
      </x:c>
      <x:c r="G28" s="12" t="n">
        <x:v>2</x:v>
      </x:c>
      <x:c r="H28" s="12" t="n">
        <x:f>E28*G28</x:f>
        <x:v>2</x:v>
      </x:c>
      <x:c r="I28" s="13" t="str">
        <x:v>LED 限流/上拉</x:v>
      </x:c>
      <x:c r="J28" s="13" t="str">
        <x:v>驱动匹配</x:v>
      </x:c>
      <x:c r="K28" s="13" t="str">
        <x:v>待采购</x:v>
      </x:c>
      <x:c r="L28" s="13" t="str"/>
    </x:row>
    <x:row r="29">
      <x:c r="A29" s="10" t="n">
        <x:v>28</x:v>
      </x:c>
      <x:c r="B29" s="10" t="str">
        <x:v>E</x:v>
      </x:c>
      <x:c r="C29" s="13" t="str">
        <x:v>驱动三极管/MOS</x:v>
      </x:c>
      <x:c r="D29" s="13" t="str">
        <x:v>S8050 / 2N7000</x:v>
      </x:c>
      <x:c r="E29" s="11" t="n">
        <x:v>4</x:v>
      </x:c>
      <x:c r="F29" s="10" t="str">
        <x:v>个</x:v>
      </x:c>
      <x:c r="G29" s="12" t="n">
        <x:v>0.5</x:v>
      </x:c>
      <x:c r="H29" s="12" t="n">
        <x:f>E29*G29</x:f>
        <x:v>2</x:v>
      </x:c>
      <x:c r="I29" s="13" t="str">
        <x:v>蜂鸣器/LED 驱动</x:v>
      </x:c>
      <x:c r="J29" s="13" t="str">
        <x:v>电平转换与功率驱动</x:v>
      </x:c>
      <x:c r="K29" s="13" t="str">
        <x:v>待采购</x:v>
      </x:c>
      <x:c r="L29" s="13" t="str"/>
    </x:row>
    <x:row r="30">
      <x:c r="A30" s="10" t="n">
        <x:v>29</x:v>
      </x:c>
      <x:c r="B30" s="10" t="str">
        <x:v>F</x:v>
      </x:c>
      <x:c r="C30" s="13" t="str">
        <x:v>整机外壳</x:v>
      </x:c>
      <x:c r="D30" s="13" t="str">
        <x:v>3D 打印 / 亚克力定制</x:v>
      </x:c>
      <x:c r="E30" s="11" t="n">
        <x:v>1</x:v>
      </x:c>
      <x:c r="F30" s="10" t="str">
        <x:v>套</x:v>
      </x:c>
      <x:c r="G30" s="12" t="n">
        <x:v>60</x:v>
      </x:c>
      <x:c r="H30" s="12" t="n">
        <x:f>E30*G30</x:f>
        <x:v>60</x:v>
      </x:c>
      <x:c r="I30" s="13" t="str">
        <x:v>—</x:v>
      </x:c>
      <x:c r="J30" s="13" t="str">
        <x:v>整机防护与安装</x:v>
      </x:c>
      <x:c r="K30" s="13" t="str">
        <x:v>待采购</x:v>
      </x:c>
      <x:c r="L30" s="13" t="str">
        <x:v>需出图加工</x:v>
      </x:c>
    </x:row>
    <x:row r="31">
      <x:c r="A31" s="10" t="n">
        <x:v>30</x:v>
      </x:c>
      <x:c r="B31" s="10" t="str">
        <x:v>F</x:v>
      </x:c>
      <x:c r="C31" s="13" t="str">
        <x:v>传感器安装支架</x:v>
      </x:c>
      <x:c r="D31" s="13" t="str">
        <x:v>α/φ/雷达/天线支架套装</x:v>
      </x:c>
      <x:c r="E31" s="11" t="n">
        <x:v>1</x:v>
      </x:c>
      <x:c r="F31" s="10" t="str">
        <x:v>套</x:v>
      </x:c>
      <x:c r="G31" s="12" t="n">
        <x:v>80</x:v>
      </x:c>
      <x:c r="H31" s="12" t="n">
        <x:f>E31*G31</x:f>
        <x:v>80</x:v>
      </x:c>
      <x:c r="I31" s="13" t="str">
        <x:v>—</x:v>
      </x:c>
      <x:c r="J31" s="13" t="str">
        <x:v>传感器定位与标定</x:v>
      </x:c>
      <x:c r="K31" s="13" t="str">
        <x:v>待采购</x:v>
      </x:c>
      <x:c r="L31" s="13" t="str"/>
    </x:row>
    <x:row r="32">
      <x:c r="A32" s="10" t="n">
        <x:v>31</x:v>
      </x:c>
      <x:c r="B32" s="10" t="str">
        <x:v>F</x:v>
      </x:c>
      <x:c r="C32" s="13" t="str">
        <x:v>模拟挂车试验平台</x:v>
      </x:c>
      <x:c r="D32" s="13" t="str">
        <x:v>牵引车 + 挂车 + 铰接机构 + 标定板</x:v>
      </x:c>
      <x:c r="E32" s="11" t="n">
        <x:v>1</x:v>
      </x:c>
      <x:c r="F32" s="10" t="str">
        <x:v>套</x:v>
      </x:c>
      <x:c r="G32" s="12" t="n">
        <x:v>150</x:v>
      </x:c>
      <x:c r="H32" s="12" t="n">
        <x:f>E32*G32</x:f>
        <x:v>150</x:v>
      </x:c>
      <x:c r="I32" s="13" t="str">
        <x:v>—</x:v>
      </x:c>
      <x:c r="J32" s="13" t="str">
        <x:v>算法验证与演示</x:v>
      </x:c>
      <x:c r="K32" s="13" t="str">
        <x:v>自制/复用</x:v>
      </x:c>
      <x:c r="L32" s="13" t="str">
        <x:v>可 3D 打印自制</x:v>
      </x:c>
    </x:row>
    <x:row r="33">
      <x:c r="A33" s="10" t="n">
        <x:v>32</x:v>
      </x:c>
      <x:c r="B33" s="10" t="str">
        <x:v>F</x:v>
      </x:c>
      <x:c r="C33" s="13" t="str">
        <x:v>紧固与安装耗材</x:v>
      </x:c>
      <x:c r="D33" s="13" t="str">
        <x:v>螺丝螺母 / 扎带 / 3M 双面胶 / 磁铁</x:v>
      </x:c>
      <x:c r="E33" s="11" t="n">
        <x:v>1</x:v>
      </x:c>
      <x:c r="F33" s="10" t="str">
        <x:v>套</x:v>
      </x:c>
      <x:c r="G33" s="12" t="n">
        <x:v>20</x:v>
      </x:c>
      <x:c r="H33" s="12" t="n">
        <x:f>E33*G33</x:f>
        <x:v>20</x:v>
      </x:c>
      <x:c r="I33" s="13" t="str">
        <x:v>—</x:v>
      </x:c>
      <x:c r="J33" s="13" t="str">
        <x:v>安装固定</x:v>
      </x:c>
      <x:c r="K33" s="13" t="str">
        <x:v>待采购</x:v>
      </x:c>
      <x:c r="L33" s="13" t="str"/>
    </x:row>
    <x:row r="34">
      <x:c r="A34" s="10" t="n">
        <x:v>33</x:v>
      </x:c>
      <x:c r="B34" s="10" t="str">
        <x:v>F</x:v>
      </x:c>
      <x:c r="C34" s="13" t="str">
        <x:v>热缩管/绝缘耗材</x:v>
      </x:c>
      <x:c r="D34" s="13" t="str">
        <x:v>各规格</x:v>
      </x:c>
      <x:c r="E34" s="11" t="n">
        <x:v>1</x:v>
      </x:c>
      <x:c r="F34" s="10" t="str">
        <x:v>套</x:v>
      </x:c>
      <x:c r="G34" s="12" t="n">
        <x:v>10</x:v>
      </x:c>
      <x:c r="H34" s="12" t="n">
        <x:f>E34*G34</x:f>
        <x:v>10</x:v>
      </x:c>
      <x:c r="I34" s="13" t="str">
        <x:v>—</x:v>
      </x:c>
      <x:c r="J34" s="13" t="str">
        <x:v>线束防护</x:v>
      </x:c>
      <x:c r="K34" s="13" t="str">
        <x:v>待采购</x:v>
      </x:c>
      <x:c r="L34" s="13" t="str"/>
    </x:row>
    <x:row r="35">
      <x:c r="A35" s="10" t="n">
        <x:v>34</x:v>
      </x:c>
      <x:c r="B35" s="10" t="str">
        <x:v>G</x:v>
      </x:c>
      <x:c r="C35" s="13" t="str">
        <x:v>MicroSD 卡</x:v>
      </x:c>
      <x:c r="D35" s="13" t="str">
        <x:v>32GB + 读卡器</x:v>
      </x:c>
      <x:c r="E35" s="11" t="n">
        <x:v>1</x:v>
      </x:c>
      <x:c r="F35" s="10" t="str">
        <x:v>套</x:v>
      </x:c>
      <x:c r="G35" s="12" t="n">
        <x:v>30</x:v>
      </x:c>
      <x:c r="H35" s="12" t="n">
        <x:f>E35*G35</x:f>
        <x:v>30</x:v>
      </x:c>
      <x:c r="I35" s="13" t="str">
        <x:v>SPI / SDMMC</x:v>
      </x:c>
      <x:c r="J35" s="13" t="str">
        <x:v>运行数据记录</x:v>
      </x:c>
      <x:c r="K35" s="13" t="str">
        <x:v>待采购</x:v>
      </x:c>
      <x:c r="L35" s="13" t="str"/>
    </x:row>
    <x:row r="36">
      <x:c r="A36" s="10" t="n">
        <x:v>35</x:v>
      </x:c>
      <x:c r="B36" s="10" t="str">
        <x:v>G</x:v>
      </x:c>
      <x:c r="C36" s="13" t="str">
        <x:v>测试标靶</x:v>
      </x:c>
      <x:c r="D36" s="13" t="str">
        <x:v>锥桶 / 反光板 / 行人轮廓板</x:v>
      </x:c>
      <x:c r="E36" s="11" t="n">
        <x:v>1</x:v>
      </x:c>
      <x:c r="F36" s="10" t="str">
        <x:v>套</x:v>
      </x:c>
      <x:c r="G36" s="12" t="n">
        <x:v>50</x:v>
      </x:c>
      <x:c r="H36" s="12" t="n">
        <x:f>E36*G36</x:f>
        <x:v>50</x:v>
      </x:c>
      <x:c r="I36" s="13" t="str">
        <x:v>—</x:v>
      </x:c>
      <x:c r="J36" s="13" t="str">
        <x:v>雷达/视觉标定与判警测试</x:v>
      </x:c>
      <x:c r="K36" s="13" t="str">
        <x:v>待采购</x:v>
      </x:c>
      <x:c r="L36" s="13" t="str"/>
    </x:row>
    <x:row r="37">
      <x:c r="A37" s="10" t="n">
        <x:v>36</x:v>
      </x:c>
      <x:c r="B37" s="10" t="str">
        <x:v>G</x:v>
      </x:c>
      <x:c r="C37" s="13" t="str">
        <x:v>反光警示材料</x:v>
      </x:c>
      <x:c r="D37" s="13" t="str">
        <x:v>警示贴纸 / 反光带</x:v>
      </x:c>
      <x:c r="E37" s="11" t="n">
        <x:v>1</x:v>
      </x:c>
      <x:c r="F37" s="10" t="str">
        <x:v>套</x:v>
      </x:c>
      <x:c r="G37" s="12" t="n">
        <x:v>15</x:v>
      </x:c>
      <x:c r="H37" s="12" t="n">
        <x:f>E37*G37</x:f>
        <x:v>15</x:v>
      </x:c>
      <x:c r="I37" s="13" t="str">
        <x:v>—</x:v>
      </x:c>
      <x:c r="J37" s="13" t="str">
        <x:v>样机标识与实验安全</x:v>
      </x:c>
      <x:c r="K37" s="13" t="str">
        <x:v>待采购</x:v>
      </x:c>
      <x:c r="L37" s="13" t="str"/>
    </x:row>
    <x:row r="38">
      <x:c r="A38" s="10" t="n">
        <x:v>37</x:v>
      </x:c>
      <x:c r="B38" s="10" t="str">
        <x:v>G</x:v>
      </x:c>
      <x:c r="C38" s="13" t="str">
        <x:v>数字万用表</x:v>
      </x:c>
      <x:c r="D38" s="13" t="str">
        <x:v>通用型</x:v>
      </x:c>
      <x:c r="E38" s="11" t="n">
        <x:v>1</x:v>
      </x:c>
      <x:c r="F38" s="10" t="str">
        <x:v>台</x:v>
      </x:c>
      <x:c r="G38" s="12" t="n">
        <x:v>60</x:v>
      </x:c>
      <x:c r="H38" s="12" t="n">
        <x:f>E38*G38</x:f>
        <x:v>60</x:v>
      </x:c>
      <x:c r="I38" s="13" t="str">
        <x:v>—</x:v>
      </x:c>
      <x:c r="J38" s="13" t="str">
        <x:v>电路调试与测量</x:v>
      </x:c>
      <x:c r="K38" s="13" t="str">
        <x:v>实验室已有</x:v>
      </x:c>
      <x:c r="L38" s="13" t="str">
        <x:v>可借用</x:v>
      </x:c>
    </x:row>
    <x:row r="39">
      <x:c r="A39" s="10" t="n">
        <x:v>38</x:v>
      </x:c>
      <x:c r="B39" s="10" t="str">
        <x:v>G</x:v>
      </x:c>
      <x:c r="C39" s="13" t="str">
        <x:v>户外测试电源</x:v>
      </x:c>
      <x:c r="D39" s="13" t="str">
        <x:v>5V/2A+ 充电宝/电池组</x:v>
      </x:c>
      <x:c r="E39" s="11" t="n">
        <x:v>1</x:v>
      </x:c>
      <x:c r="F39" s="10" t="str">
        <x:v>套</x:v>
      </x:c>
      <x:c r="G39" s="12" t="n">
        <x:v>60</x:v>
      </x:c>
      <x:c r="H39" s="12" t="n">
        <x:f>E39*G39</x:f>
        <x:v>60</x:v>
      </x:c>
      <x:c r="I39" s="13" t="str">
        <x:v>USB 5V</x:v>
      </x:c>
      <x:c r="J39" s="13" t="str">
        <x:v>无车环境供电演示</x:v>
      </x:c>
      <x:c r="K39" s="13" t="str">
        <x:v>待采购</x:v>
      </x:c>
      <x:c r="L39" s="13" t="str"/>
    </x:row>
  </x:sheetData>
  <x:dataValidations count="1">
    <x:dataValidation type="list" sqref="K2:K39">
      <x:formula1>"待采购,已有,实验室借用,自制/复用"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64" hidden="0" customWidth="1"/>
    <x:col min="4" max="4" width="16" hidden="0" customWidth="1"/>
  </x:cols>
  <x:sheetData>
    <x:row r="1" ht="28" customHeight="1">
      <x:c r="A1" s="33" t="str">
        <x:v>元件 BOM 汇总（预算口径对照）</x:v>
      </x:c>
    </x:row>
    <x:row r="2" ht="22" customHeight="1">
      <x:c r="A2" s="15" t="str">
        <x:v>单价为市场估算，需实际询价核价；数量含 1 用 1 备冗余。</x:v>
      </x:c>
    </x:row>
    <x:row r="4">
      <x:c r="A4" s="32" t="str">
        <x:v>类别</x:v>
      </x:c>
      <x:c r="B4" s="32" t="str">
        <x:v>类别名称</x:v>
      </x:c>
      <x:c r="C4" s="32" t="str">
        <x:v>合计(元)</x:v>
      </x:c>
    </x:row>
    <x:row r="5">
      <x:c r="A5" s="28" t="str">
        <x:v>A</x:v>
      </x:c>
      <x:c r="B5" s="30" t="str">
        <x:v>主控与核心板</x:v>
      </x:c>
      <x:c r="C5" s="29" t="n">
        <x:f>SUMIF('BOM明细'!$B$2:$B$39,"A",'BOM明细'!$H$2:$H$39)</x:f>
        <x:v>435</x:v>
      </x:c>
    </x:row>
    <x:row r="6">
      <x:c r="A6" s="28" t="str">
        <x:v>B</x:v>
      </x:c>
      <x:c r="B6" s="30" t="str">
        <x:v>感知传感器（基础）</x:v>
      </x:c>
      <x:c r="C6" s="29" t="n">
        <x:f>SUMIF('BOM明细'!$B$2:$B$39,"B",'BOM明细'!$H$2:$H$39)</x:f>
        <x:v>120</x:v>
      </x:c>
    </x:row>
    <x:row r="7">
      <x:c r="A7" s="28" t="str">
        <x:v>C</x:v>
      </x:c>
      <x:c r="B7" s="30" t="str">
        <x:v>电源</x:v>
      </x:c>
      <x:c r="C7" s="29" t="n">
        <x:f>SUMIF('BOM明细'!$B$2:$B$39,"C",'BOM明细'!$H$2:$H$39)</x:f>
        <x:v>44.4</x:v>
      </x:c>
    </x:row>
    <x:row r="8">
      <x:c r="A8" s="28" t="str">
        <x:v>D</x:v>
      </x:c>
      <x:c r="B8" s="30" t="str">
        <x:v>通信与接口</x:v>
      </x:c>
      <x:c r="C8" s="29" t="n">
        <x:f>SUMIF('BOM明细'!$B$2:$B$39,"D",'BOM明细'!$H$2:$H$39)</x:f>
        <x:v>63</x:v>
      </x:c>
    </x:row>
    <x:row r="9">
      <x:c r="A9" s="28" t="str">
        <x:v>E</x:v>
      </x:c>
      <x:c r="B9" s="30" t="str">
        <x:v>输出告警</x:v>
      </x:c>
      <x:c r="C9" s="29" t="n">
        <x:f>SUMIF('BOM明细'!$B$2:$B$39,"E",'BOM明细'!$H$2:$H$39)</x:f>
        <x:v>9</x:v>
      </x:c>
    </x:row>
    <x:row r="10">
      <x:c r="A10" s="28" t="str">
        <x:v>F</x:v>
      </x:c>
      <x:c r="B10" s="30" t="str">
        <x:v>结构与安装</x:v>
      </x:c>
      <x:c r="C10" s="29" t="n">
        <x:f>SUMIF('BOM明细'!$B$2:$B$39,"F",'BOM明细'!$H$2:$H$39)</x:f>
        <x:v>320</x:v>
      </x:c>
    </x:row>
    <x:row r="11">
      <x:c r="A11" s="28" t="str">
        <x:v>G</x:v>
      </x:c>
      <x:c r="B11" s="30" t="str">
        <x:v>测试与工具</x:v>
      </x:c>
      <x:c r="C11" s="29" t="n">
        <x:f>SUMIF('BOM明细'!$B$2:$B$39,"G",'BOM明细'!$H$2:$H$39)</x:f>
        <x:v>215</x:v>
      </x:c>
    </x:row>
    <x:row r="12">
      <x:c r="A12" s="28" t="str">
        <x:v>H</x:v>
      </x:c>
      <x:c r="B12" s="30" t="str">
        <x:v>北斗增强版（可选）</x:v>
      </x:c>
      <x:c r="C12" s="29" t="n">
        <x:f>SUMIF('BOM明细'!$B$2:$B$39,"H",'BOM明细'!$H$2:$H$39)</x:f>
        <x:v>620</x:v>
      </x:c>
    </x:row>
    <x:row r="13">
      <x:c r="A13" s="7" t="str">
        <x:v>基础版合计（A–G）</x:v>
      </x:c>
      <x:c r="B13" s="31" t="str"/>
      <x:c r="C13" s="9" t="n">
        <x:f>SUM(C5:C11)</x:f>
        <x:v>1206.4</x:v>
      </x:c>
    </x:row>
    <x:row r="14">
      <x:c r="A14" s="7" t="str">
        <x:v>北斗增强版小计（H）</x:v>
      </x:c>
      <x:c r="B14" s="31" t="str"/>
      <x:c r="C14" s="9" t="n">
        <x:f>C12</x:f>
        <x:v>620</x:v>
      </x:c>
    </x:row>
    <x:row r="15">
      <x:c r="A15" s="7" t="str">
        <x:v>含增强版估算合计</x:v>
      </x:c>
      <x:c r="B15" s="31" t="str"/>
      <x:c r="C15" s="27" t="n">
        <x:f>C13+C14</x:f>
        <x:v>1826.4</x:v>
      </x:c>
    </x:row>
    <x:row r="18">
      <x:c r="A18" s="24" t="str">
        <x:v>开题报告预算对照（合计 4000 元）</x:v>
      </x:c>
    </x:row>
    <x:row r="19">
      <x:c r="A19" t="str">
        <x:v>开题报告预算（硬件 1800 + 结构 900 + 测试 500 + 资料 800）</x:v>
      </x:c>
      <x:c r="B19" t="str"/>
      <x:c r="C19" s="5" t="n">
        <x:v>4000</x:v>
      </x:c>
    </x:row>
    <x:row r="20">
      <x:c r="A20" t="str">
        <x:v>BOM 估算合计（含增强版）</x:v>
      </x:c>
      <x:c r="B20" t="str"/>
      <x:c r="C20" s="6" t="n">
        <x:f>C15</x:f>
        <x:v>1826.4</x:v>
      </x:c>
    </x:row>
    <x:row r="21">
      <x:c r="A21" t="str">
        <x:v>未列支预留（资料 / 运费 / 不可预见）</x:v>
      </x:c>
      <x:c r="B21" t="str"/>
      <x:c r="C21" s="6" t="n">
        <x:f>C19-C20</x:f>
        <x:v>2173.6</x:v>
      </x:c>
    </x:row>
    <x:row r="23">
      <x:c r="A23" s="25" t="str">
        <x:v>说明</x:v>
      </x:c>
    </x:row>
    <x:row r="24" ht="30" customHeight="1">
      <x:c r="A24" s="26" t="str">
        <x:v>1. 类别 A–G 为基础版样机 BOM；类别 H 为北斗高精度增强版（RTK 定位 + 双天线测向 + IMU），基础版可不装。</x:v>
      </x:c>
    </x:row>
    <x:row r="25" ht="30" customHeight="1">
      <x:c r="A25" s="26" t="str">
        <x:v>2. 单价为 2026-08 市场估算，采购前需按渠道询价；批量采购可进一步下降。</x:v>
      </x:c>
    </x:row>
    <x:row r="26" ht="30" customHeight="1">
      <x:c r="A26" s="26" t="str">
        <x:v>3. 接口/引脚以 ArduinoIDE/config.h 与 AGENTS.md 硬件表为准：α→GPIO34、φ→GPIO35、蜂鸣器→GPIO12、LED→GPIO13、雷达→GPIO16/17、CAN→GPIO5/4。</x:v>
      </x:c>
    </x:row>
    <x:row r="27" ht="30" customHeight="1">
      <x:c r="A27" s="26" t="str">
        <x:v>4. 模拟挂车试验平台可 3D 打印自制复用；万用表建议借用实验室资源。</x:v>
      </x:c>
    </x:row>
    <x:row r="28" ht="30" customHeight="1">
      <x:c r="A28" s="26" t="str">
        <x:v>5. 结构与实验耗材、测试数据采集、资料申报预算对应开题报告 900/500/800 元口径。</x:v>
      </x:c>
    </x:row>
  </x:sheetData>
  <x:mergeCells>
    <x:mergeCell ref="A1:C1"/>
    <x:mergeCell ref="A2:C2"/>
    <x:mergeCell ref="A13:B13"/>
    <x:mergeCell ref="A14:B14"/>
    <x:mergeCell ref="A15:B15"/>
    <x:mergeCell ref="A18:C18"/>
    <x:mergeCell ref="A19:B19"/>
    <x:mergeCell ref="A20:B20"/>
    <x:mergeCell ref="A21:B21"/>
    <x:mergeCell ref="A23:C23"/>
    <x:mergeCell ref="A24:C24"/>
    <x:mergeCell ref="A25:C25"/>
    <x:mergeCell ref="A26:C26"/>
    <x:mergeCell ref="A27:C27"/>
    <x:mergeCell ref="A28:C28"/>
  </x:mergeCells>
  <x:pageMargins left="0.7" right="0.7" top="0.75" bottom="0.75" header="0.3" footer="0.3"/>
</x:worksheet>
</file>